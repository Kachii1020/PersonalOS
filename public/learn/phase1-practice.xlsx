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매출데이터" sheetId="1" state="visible" r:id="rId3"/>
    <sheet name="INDEX-MATCH" sheetId="2" state="visible" r:id="rId4"/>
    <sheet name="참조방식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<sst xmlns="http://schemas.openxmlformats.org/spreadsheetml/2006/main" count="108" uniqueCount="64">
  <si>
    <r>
      <rPr>
        <i val="true"/>
        <sz val="10"/>
        <color rgb="FF555555"/>
        <rFont val="Arial"/>
        <family val="0"/>
        <charset val="1"/>
      </rPr>
      <t xml:space="preserve">[ Phase 1 </t>
    </r>
    <r>
      <rPr>
        <i val="true"/>
        <sz val="10"/>
        <color rgb="FF555555"/>
        <rFont val="Noto Sans CJK SC"/>
        <family val="2"/>
      </rPr>
      <t xml:space="preserve">실습 </t>
    </r>
    <r>
      <rPr>
        <i val="true"/>
        <sz val="10"/>
        <color rgb="FF555555"/>
        <rFont val="Arial"/>
        <family val="0"/>
        <charset val="1"/>
      </rPr>
      <t xml:space="preserve">] </t>
    </r>
    <r>
      <rPr>
        <i val="true"/>
        <sz val="10"/>
        <color rgb="FF555555"/>
        <rFont val="Noto Sans CJK SC"/>
        <family val="2"/>
      </rPr>
      <t xml:space="preserve">아래 매출 데이터를 사용해서 우측의 문제를 풀어보세요</t>
    </r>
    <r>
      <rPr>
        <i val="true"/>
        <sz val="10"/>
        <color rgb="FF555555"/>
        <rFont val="Arial"/>
        <family val="0"/>
        <charset val="1"/>
      </rPr>
      <t xml:space="preserve">.</t>
    </r>
  </si>
  <si>
    <r>
      <rPr>
        <i val="true"/>
        <sz val="10"/>
        <color rgb="FF555555"/>
        <rFont val="Noto Sans CJK SC"/>
        <family val="2"/>
      </rPr>
      <t xml:space="preserve">노란색 셀에 수식을 입력하세요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Noto Sans CJK SC"/>
        <family val="2"/>
      </rPr>
      <t xml:space="preserve">하드코딩</t>
    </r>
    <r>
      <rPr>
        <i val="true"/>
        <sz val="10"/>
        <color rgb="FF555555"/>
        <rFont val="Arial"/>
        <family val="0"/>
        <charset val="1"/>
      </rPr>
      <t xml:space="preserve">(</t>
    </r>
    <r>
      <rPr>
        <i val="true"/>
        <sz val="10"/>
        <color rgb="FF555555"/>
        <rFont val="Noto Sans CJK SC"/>
        <family val="2"/>
      </rPr>
      <t xml:space="preserve">숫자 직접 입력</t>
    </r>
    <r>
      <rPr>
        <i val="true"/>
        <sz val="10"/>
        <color rgb="FF555555"/>
        <rFont val="Arial"/>
        <family val="0"/>
        <charset val="1"/>
      </rPr>
      <t xml:space="preserve">) </t>
    </r>
    <r>
      <rPr>
        <i val="true"/>
        <sz val="10"/>
        <color rgb="FF555555"/>
        <rFont val="Noto Sans CJK SC"/>
        <family val="2"/>
      </rPr>
      <t xml:space="preserve">금지</t>
    </r>
    <r>
      <rPr>
        <i val="true"/>
        <sz val="10"/>
        <color rgb="FF555555"/>
        <rFont val="Arial"/>
        <family val="0"/>
        <charset val="1"/>
      </rPr>
      <t xml:space="preserve">!</t>
    </r>
  </si>
  <si>
    <t xml:space="preserve">지역</t>
  </si>
  <si>
    <t xml:space="preserve">제품</t>
  </si>
  <si>
    <t xml:space="preserve">월</t>
  </si>
  <si>
    <t xml:space="preserve">매출액</t>
  </si>
  <si>
    <t xml:space="preserve">원가</t>
  </si>
  <si>
    <t xml:space="preserve">수량</t>
  </si>
  <si>
    <t xml:space="preserve">문제</t>
  </si>
  <si>
    <t xml:space="preserve">수식 입력란</t>
  </si>
  <si>
    <r>
      <rPr>
        <b val="true"/>
        <sz val="11"/>
        <color rgb="FFFFFFFF"/>
        <rFont val="Noto Sans CJK SC"/>
        <family val="2"/>
      </rPr>
      <t xml:space="preserve">정답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확인용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</si>
  <si>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서울</t>
  </si>
  <si>
    <t xml:space="preserve">A</t>
  </si>
  <si>
    <r>
      <rPr>
        <sz val="10"/>
        <rFont val="Arial"/>
        <family val="0"/>
        <charset val="1"/>
      </rPr>
      <t xml:space="preserve">Q1. </t>
    </r>
    <r>
      <rPr>
        <sz val="10"/>
        <rFont val="Noto Sans CJK SC"/>
        <family val="2"/>
      </rPr>
      <t xml:space="preserve">전체 매출 합계</t>
    </r>
  </si>
  <si>
    <t xml:space="preserve">부산</t>
  </si>
  <si>
    <t xml:space="preserve">B</t>
  </si>
  <si>
    <r>
      <rPr>
        <sz val="10"/>
        <rFont val="Arial"/>
        <family val="0"/>
        <charset val="1"/>
      </rPr>
      <t xml:space="preserve">Q2. </t>
    </r>
    <r>
      <rPr>
        <sz val="10"/>
        <rFont val="Noto Sans CJK SC"/>
        <family val="2"/>
      </rPr>
      <t xml:space="preserve">평균 매출액</t>
    </r>
  </si>
  <si>
    <t xml:space="preserve">대구</t>
  </si>
  <si>
    <r>
      <rPr>
        <sz val="10"/>
        <rFont val="Arial"/>
        <family val="0"/>
        <charset val="1"/>
      </rPr>
      <t xml:space="preserve">Q3. </t>
    </r>
    <r>
      <rPr>
        <sz val="10"/>
        <rFont val="Noto Sans CJK SC"/>
        <family val="2"/>
      </rPr>
      <t xml:space="preserve">최대 매출액</t>
    </r>
  </si>
  <si>
    <t xml:space="preserve">C</t>
  </si>
  <si>
    <r>
      <rPr>
        <sz val="10"/>
        <rFont val="Arial"/>
        <family val="0"/>
        <charset val="1"/>
      </rPr>
      <t xml:space="preserve">Q4. </t>
    </r>
    <r>
      <rPr>
        <sz val="10"/>
        <rFont val="Noto Sans CJK SC"/>
        <family val="2"/>
      </rPr>
      <t xml:space="preserve">두 번째로 큰 매출액</t>
    </r>
  </si>
  <si>
    <r>
      <rPr>
        <sz val="10"/>
        <rFont val="Arial"/>
        <family val="0"/>
        <charset val="1"/>
      </rPr>
      <t xml:space="preserve">Q5. </t>
    </r>
    <r>
      <rPr>
        <sz val="10"/>
        <rFont val="Noto Sans CJK SC"/>
        <family val="2"/>
      </rPr>
      <t xml:space="preserve">데이터 건수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숫자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</si>
  <si>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Q6. </t>
    </r>
    <r>
      <rPr>
        <sz val="10"/>
        <rFont val="Noto Sans CJK SC"/>
        <family val="2"/>
      </rPr>
      <t xml:space="preserve">서울 지역 매출 합계 </t>
    </r>
    <r>
      <rPr>
        <sz val="10"/>
        <rFont val="Arial"/>
        <family val="0"/>
        <charset val="1"/>
      </rPr>
      <t xml:space="preserve">(SUMIF)</t>
    </r>
  </si>
  <si>
    <r>
      <rPr>
        <sz val="10"/>
        <rFont val="Arial"/>
        <family val="0"/>
        <charset val="1"/>
      </rPr>
      <t xml:space="preserve">Q7. </t>
    </r>
    <r>
      <rPr>
        <sz val="10"/>
        <rFont val="Noto Sans CJK SC"/>
        <family val="2"/>
      </rPr>
      <t xml:space="preserve">서울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제품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매출 합계 </t>
    </r>
    <r>
      <rPr>
        <sz val="10"/>
        <rFont val="Arial"/>
        <family val="0"/>
        <charset val="1"/>
      </rPr>
      <t xml:space="preserve">(SUMIFS)</t>
    </r>
  </si>
  <si>
    <r>
      <rPr>
        <sz val="10"/>
        <rFont val="Arial"/>
        <family val="0"/>
        <charset val="1"/>
      </rPr>
      <t xml:space="preserve">Q8. </t>
    </r>
    <r>
      <rPr>
        <sz val="10"/>
        <rFont val="Noto Sans CJK SC"/>
        <family val="2"/>
      </rPr>
      <t xml:space="preserve">매출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억 이상인 건수 </t>
    </r>
    <r>
      <rPr>
        <sz val="10"/>
        <rFont val="Arial"/>
        <family val="0"/>
        <charset val="1"/>
      </rPr>
      <t xml:space="preserve">(COUNTIF)</t>
    </r>
  </si>
  <si>
    <r>
      <rPr>
        <sz val="10"/>
        <rFont val="Arial"/>
        <family val="0"/>
        <charset val="1"/>
      </rPr>
      <t xml:space="preserve">Q9. </t>
    </r>
    <r>
      <rPr>
        <sz val="10"/>
        <rFont val="Noto Sans CJK SC"/>
        <family val="2"/>
      </rPr>
      <t xml:space="preserve">부산 평균 원가 </t>
    </r>
    <r>
      <rPr>
        <sz val="10"/>
        <rFont val="Arial"/>
        <family val="0"/>
        <charset val="1"/>
      </rPr>
      <t xml:space="preserve">(AVERAGEIF)</t>
    </r>
  </si>
  <si>
    <r>
      <rPr>
        <sz val="10"/>
        <rFont val="Arial"/>
        <family val="0"/>
        <charset val="1"/>
      </rPr>
      <t xml:space="preserve">Q10. </t>
    </r>
    <r>
      <rPr>
        <sz val="10"/>
        <rFont val="Noto Sans CJK SC"/>
        <family val="2"/>
      </rPr>
      <t xml:space="preserve">매출 대비 원가율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행별</t>
    </r>
    <r>
      <rPr>
        <sz val="10"/>
        <rFont val="Arial"/>
        <family val="0"/>
        <charset val="1"/>
      </rPr>
      <t xml:space="preserve">, D5 </t>
    </r>
    <r>
      <rPr>
        <sz val="10"/>
        <rFont val="Noto Sans CJK SC"/>
        <family val="2"/>
      </rPr>
      <t xml:space="preserve">기준</t>
    </r>
    <r>
      <rPr>
        <sz val="10"/>
        <rFont val="Arial"/>
        <family val="0"/>
        <charset val="1"/>
      </rPr>
      <t xml:space="preserve">)</t>
    </r>
  </si>
  <si>
    <r>
      <rPr>
        <i val="true"/>
        <sz val="10"/>
        <color rgb="FF555555"/>
        <rFont val="Arial"/>
        <family val="0"/>
        <charset val="1"/>
      </rPr>
      <t xml:space="preserve">[ INDEX-MATCH </t>
    </r>
    <r>
      <rPr>
        <i val="true"/>
        <sz val="10"/>
        <color rgb="FF555555"/>
        <rFont val="Noto Sans CJK SC"/>
        <family val="2"/>
      </rPr>
      <t xml:space="preserve">연습 </t>
    </r>
    <r>
      <rPr>
        <i val="true"/>
        <sz val="10"/>
        <color rgb="FF555555"/>
        <rFont val="Arial"/>
        <family val="0"/>
        <charset val="1"/>
      </rPr>
      <t xml:space="preserve">] </t>
    </r>
    <r>
      <rPr>
        <i val="true"/>
        <sz val="10"/>
        <color rgb="FF555555"/>
        <rFont val="Noto Sans CJK SC"/>
        <family val="2"/>
      </rPr>
      <t xml:space="preserve">제품 마스터에서 가격과 카테고리를 조회하세요</t>
    </r>
    <r>
      <rPr>
        <i val="true"/>
        <sz val="10"/>
        <color rgb="FF555555"/>
        <rFont val="Arial"/>
        <family val="0"/>
        <charset val="1"/>
      </rPr>
      <t xml:space="preserve">.</t>
    </r>
  </si>
  <si>
    <r>
      <rPr>
        <i val="true"/>
        <sz val="10"/>
        <color rgb="FF555555"/>
        <rFont val="Noto Sans CJK SC"/>
        <family val="2"/>
      </rPr>
      <t xml:space="preserve">노란색 셀에 </t>
    </r>
    <r>
      <rPr>
        <i val="true"/>
        <sz val="10"/>
        <color rgb="FF555555"/>
        <rFont val="Arial"/>
        <family val="0"/>
        <charset val="1"/>
      </rPr>
      <t xml:space="preserve">INDEX-MATCH </t>
    </r>
    <r>
      <rPr>
        <i val="true"/>
        <sz val="10"/>
        <color rgb="FF555555"/>
        <rFont val="Noto Sans CJK SC"/>
        <family val="2"/>
      </rPr>
      <t xml:space="preserve">수식을 입력</t>
    </r>
    <r>
      <rPr>
        <i val="true"/>
        <sz val="10"/>
        <color rgb="FF555555"/>
        <rFont val="Arial"/>
        <family val="0"/>
        <charset val="1"/>
      </rPr>
      <t xml:space="preserve">. VLOOKUP </t>
    </r>
    <r>
      <rPr>
        <i val="true"/>
        <sz val="10"/>
        <color rgb="FF555555"/>
        <rFont val="Noto Sans CJK SC"/>
        <family val="2"/>
      </rPr>
      <t xml:space="preserve">사용 금지</t>
    </r>
    <r>
      <rPr>
        <i val="true"/>
        <sz val="10"/>
        <color rgb="FF555555"/>
        <rFont val="Arial"/>
        <family val="0"/>
        <charset val="1"/>
      </rPr>
      <t xml:space="preserve">!</t>
    </r>
  </si>
  <si>
    <t xml:space="preserve">제품코드</t>
  </si>
  <si>
    <t xml:space="preserve">제품명</t>
  </si>
  <si>
    <t xml:space="preserve">카테고리</t>
  </si>
  <si>
    <t xml:space="preserve">단가</t>
  </si>
  <si>
    <t xml:space="preserve">조회할 제품코드</t>
  </si>
  <si>
    <r>
      <rPr>
        <b val="true"/>
        <sz val="11"/>
        <color rgb="FFFFFFFF"/>
        <rFont val="Noto Sans CJK SC"/>
        <family val="2"/>
      </rPr>
      <t xml:space="preserve">제품명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</si>
  <si>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단가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</si>
  <si>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P001</t>
  </si>
  <si>
    <r>
      <rPr>
        <sz val="10"/>
        <rFont val="Noto Sans CJK SC"/>
        <family val="2"/>
      </rPr>
      <t xml:space="preserve">노트북 </t>
    </r>
    <r>
      <rPr>
        <sz val="10"/>
        <rFont val="Arial"/>
        <family val="0"/>
        <charset val="1"/>
      </rPr>
      <t xml:space="preserve">Pro</t>
    </r>
  </si>
  <si>
    <t xml:space="preserve">전자기기</t>
  </si>
  <si>
    <t xml:space="preserve">P003</t>
  </si>
  <si>
    <t xml:space="preserve">P002</t>
  </si>
  <si>
    <t xml:space="preserve">무선 마우스</t>
  </si>
  <si>
    <t xml:space="preserve">주변기기</t>
  </si>
  <si>
    <t xml:space="preserve">P007</t>
  </si>
  <si>
    <r>
      <rPr>
        <sz val="10"/>
        <rFont val="Noto Sans CJK SC"/>
        <family val="2"/>
      </rPr>
      <t xml:space="preserve">모니터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인치</t>
    </r>
  </si>
  <si>
    <t xml:space="preserve">P004</t>
  </si>
  <si>
    <t xml:space="preserve">키보드 기계식</t>
  </si>
  <si>
    <t xml:space="preserve">P005</t>
  </si>
  <si>
    <r>
      <rPr>
        <sz val="10"/>
        <rFont val="Arial"/>
        <family val="0"/>
        <charset val="1"/>
      </rPr>
      <t xml:space="preserve">USB </t>
    </r>
    <r>
      <rPr>
        <sz val="10"/>
        <rFont val="Noto Sans CJK SC"/>
        <family val="2"/>
      </rPr>
      <t xml:space="preserve">허브</t>
    </r>
  </si>
  <si>
    <t xml:space="preserve">P008</t>
  </si>
  <si>
    <t xml:space="preserve">P006</t>
  </si>
  <si>
    <r>
      <rPr>
        <sz val="10"/>
        <rFont val="Noto Sans CJK SC"/>
        <family val="2"/>
      </rPr>
      <t xml:space="preserve">웹캠 </t>
    </r>
    <r>
      <rPr>
        <sz val="10"/>
        <rFont val="Arial"/>
        <family val="0"/>
        <charset val="1"/>
      </rPr>
      <t xml:space="preserve">HD</t>
    </r>
  </si>
  <si>
    <r>
      <rPr>
        <sz val="10"/>
        <rFont val="Noto Sans CJK SC"/>
        <family val="2"/>
      </rPr>
      <t xml:space="preserve">태블릿 </t>
    </r>
    <r>
      <rPr>
        <sz val="10"/>
        <rFont val="Arial"/>
        <family val="0"/>
        <charset val="1"/>
      </rPr>
      <t xml:space="preserve">Air</t>
    </r>
  </si>
  <si>
    <r>
      <rPr>
        <i val="true"/>
        <sz val="10"/>
        <color rgb="FF555555"/>
        <rFont val="Noto Sans CJK SC"/>
        <family val="2"/>
      </rPr>
      <t xml:space="preserve">정답 예시 </t>
    </r>
    <r>
      <rPr>
        <i val="true"/>
        <sz val="10"/>
        <color rgb="FF555555"/>
        <rFont val="Arial"/>
        <family val="0"/>
        <charset val="1"/>
      </rPr>
      <t xml:space="preserve">(P003 </t>
    </r>
    <r>
      <rPr>
        <i val="true"/>
        <sz val="10"/>
        <color rgb="FF555555"/>
        <rFont val="Noto Sans CJK SC"/>
        <family val="2"/>
      </rPr>
      <t xml:space="preserve">기준</t>
    </r>
    <r>
      <rPr>
        <i val="true"/>
        <sz val="10"/>
        <color rgb="FF555555"/>
        <rFont val="Arial"/>
        <family val="0"/>
        <charset val="1"/>
      </rPr>
      <t xml:space="preserve">):</t>
    </r>
  </si>
  <si>
    <r>
      <rPr>
        <sz val="10"/>
        <rFont val="Noto Sans CJK SC"/>
        <family val="2"/>
      </rPr>
      <t xml:space="preserve">이어폰 </t>
    </r>
    <r>
      <rPr>
        <sz val="10"/>
        <rFont val="Arial"/>
        <family val="0"/>
        <charset val="1"/>
      </rPr>
      <t xml:space="preserve">Pro</t>
    </r>
  </si>
  <si>
    <t xml:space="preserve">음향기기</t>
  </si>
  <si>
    <r>
      <rPr>
        <b val="true"/>
        <sz val="12"/>
        <color rgb="FF2F5D8C"/>
        <rFont val="Arial"/>
        <family val="0"/>
        <charset val="1"/>
      </rPr>
      <t xml:space="preserve">[ </t>
    </r>
    <r>
      <rPr>
        <b val="true"/>
        <sz val="12"/>
        <color rgb="FF2F5D8C"/>
        <rFont val="Noto Sans CJK SC"/>
        <family val="2"/>
      </rPr>
      <t xml:space="preserve">절대</t>
    </r>
    <r>
      <rPr>
        <b val="true"/>
        <sz val="12"/>
        <color rgb="FF2F5D8C"/>
        <rFont val="Arial"/>
        <family val="0"/>
        <charset val="1"/>
      </rPr>
      <t xml:space="preserve">/</t>
    </r>
    <r>
      <rPr>
        <b val="true"/>
        <sz val="12"/>
        <color rgb="FF2F5D8C"/>
        <rFont val="Noto Sans CJK SC"/>
        <family val="2"/>
      </rPr>
      <t xml:space="preserve">상대</t>
    </r>
    <r>
      <rPr>
        <b val="true"/>
        <sz val="12"/>
        <color rgb="FF2F5D8C"/>
        <rFont val="Arial"/>
        <family val="0"/>
        <charset val="1"/>
      </rPr>
      <t xml:space="preserve">/</t>
    </r>
    <r>
      <rPr>
        <b val="true"/>
        <sz val="12"/>
        <color rgb="FF2F5D8C"/>
        <rFont val="Noto Sans CJK SC"/>
        <family val="2"/>
      </rPr>
      <t xml:space="preserve">혼합 참조 연습 </t>
    </r>
    <r>
      <rPr>
        <b val="true"/>
        <sz val="12"/>
        <color rgb="FF2F5D8C"/>
        <rFont val="Arial"/>
        <family val="0"/>
        <charset val="1"/>
      </rPr>
      <t xml:space="preserve">]</t>
    </r>
  </si>
  <si>
    <r>
      <rPr>
        <i val="true"/>
        <sz val="10"/>
        <color rgb="FF555555"/>
        <rFont val="Arial"/>
        <family val="0"/>
        <charset val="1"/>
      </rPr>
      <t xml:space="preserve">B3</t>
    </r>
    <r>
      <rPr>
        <i val="true"/>
        <sz val="10"/>
        <color rgb="FF555555"/>
        <rFont val="Noto Sans CJK SC"/>
        <family val="2"/>
      </rPr>
      <t xml:space="preserve">에 수식을 쓰고 아래로 복사했을 때 결과를 예측하세요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Noto Sans CJK SC"/>
        <family val="2"/>
      </rPr>
      <t xml:space="preserve">세율</t>
    </r>
    <r>
      <rPr>
        <i val="true"/>
        <sz val="10"/>
        <color rgb="FF555555"/>
        <rFont val="Arial"/>
        <family val="0"/>
        <charset val="1"/>
      </rPr>
      <t xml:space="preserve">/</t>
    </r>
    <r>
      <rPr>
        <i val="true"/>
        <sz val="10"/>
        <color rgb="FF555555"/>
        <rFont val="Noto Sans CJK SC"/>
        <family val="2"/>
      </rPr>
      <t xml:space="preserve">환율은 아래 고정값 참조</t>
    </r>
    <r>
      <rPr>
        <i val="true"/>
        <sz val="10"/>
        <color rgb="FF555555"/>
        <rFont val="Arial"/>
        <family val="0"/>
        <charset val="1"/>
      </rPr>
      <t xml:space="preserve">.</t>
    </r>
  </si>
  <si>
    <t xml:space="preserve">세율</t>
  </si>
  <si>
    <t xml:space="preserve">환율</t>
  </si>
  <si>
    <t xml:space="preserve">금액</t>
  </si>
  <si>
    <r>
      <rPr>
        <b val="true"/>
        <sz val="11"/>
        <color rgb="FFFFFFFF"/>
        <rFont val="Noto Sans CJK SC"/>
        <family val="2"/>
      </rPr>
      <t xml:space="preserve">세후 금액 </t>
    </r>
    <r>
      <rPr>
        <b val="true"/>
        <sz val="11"/>
        <color rgb="FFFFFFFF"/>
        <rFont val="Arial"/>
        <family val="0"/>
        <charset val="1"/>
      </rPr>
      <t xml:space="preserve">(B$4 </t>
    </r>
    <r>
      <rPr>
        <b val="true"/>
        <sz val="11"/>
        <color rgb="FFFFFFFF"/>
        <rFont val="Noto Sans CJK SC"/>
        <family val="2"/>
      </rPr>
      <t xml:space="preserve">참조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</si>
  <si>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환산 금액 </t>
    </r>
    <r>
      <rPr>
        <b val="true"/>
        <sz val="11"/>
        <color rgb="FFFFFFFF"/>
        <rFont val="Arial"/>
        <family val="0"/>
        <charset val="1"/>
      </rPr>
      <t xml:space="preserve">($D$4 </t>
    </r>
    <r>
      <rPr>
        <b val="true"/>
        <sz val="11"/>
        <color rgb="FFFFFFFF"/>
        <rFont val="Noto Sans CJK SC"/>
        <family val="2"/>
      </rPr>
      <t xml:space="preserve">참조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</si>
  <si>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i val="true"/>
        <sz val="10"/>
        <color rgb="FF555555"/>
        <rFont val="Noto Sans CJK SC"/>
        <family val="2"/>
      </rPr>
      <t xml:space="preserve">힌트</t>
    </r>
    <r>
      <rPr>
        <i val="true"/>
        <sz val="10"/>
        <color rgb="FF555555"/>
        <rFont val="Arial"/>
        <family val="0"/>
        <charset val="1"/>
      </rPr>
      <t xml:space="preserve">: B7</t>
    </r>
    <r>
      <rPr>
        <i val="true"/>
        <sz val="10"/>
        <color rgb="FF555555"/>
        <rFont val="Noto Sans CJK SC"/>
        <family val="2"/>
      </rPr>
      <t xml:space="preserve">에 </t>
    </r>
    <r>
      <rPr>
        <i val="true"/>
        <sz val="10"/>
        <color rgb="FF555555"/>
        <rFont val="Arial"/>
        <family val="0"/>
        <charset val="1"/>
      </rPr>
      <t xml:space="preserve">=A7*(1-B$4), C7</t>
    </r>
    <r>
      <rPr>
        <i val="true"/>
        <sz val="10"/>
        <color rgb="FF555555"/>
        <rFont val="Noto Sans CJK SC"/>
        <family val="2"/>
      </rPr>
      <t xml:space="preserve">에 </t>
    </r>
    <r>
      <rPr>
        <i val="true"/>
        <sz val="10"/>
        <color rgb="FF555555"/>
        <rFont val="Arial"/>
        <family val="0"/>
        <charset val="1"/>
      </rPr>
      <t xml:space="preserve">=A7/$D$4</t>
    </r>
    <r>
      <rPr>
        <i val="true"/>
        <sz val="10"/>
        <color rgb="FF555555"/>
        <rFont val="Noto Sans CJK SC"/>
        <family val="2"/>
      </rPr>
      <t xml:space="preserve">를 입력하고 아래로 드래그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</si>
</sst>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color rgb="FF555555"/>
      <name val="Arial"/>
      <family val="0"/>
      <charset val="1"/>
    </font>
    <font>
      <i val="true"/>
      <sz val="10"/>
      <color rgb="FF555555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888888"/>
      <name val="Noto Sans CJK SC"/>
      <family val="2"/>
    </font>
    <font>
      <sz val="9"/>
      <color rgb="FF888888"/>
      <name val="Arial"/>
      <family val="0"/>
      <charset val="1"/>
    </font>
    <font>
      <b val="true"/>
      <sz val="12"/>
      <color rgb="FF2F5D8C"/>
      <name val="Arial"/>
      <family val="0"/>
      <charset val="1"/>
    </font>
    <font>
      <b val="true"/>
      <sz val="12"/>
      <color rgb="FF2F5D8C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2F5D8C"/>
        <bgColor rgb="FF555555"/>
      </patternFill>
    </fill>
    <fill>
      <patternFill patternType="solid">
        <fgColor rgb="FFFFFFCC"/>
        <bgColor rgb="FFFFFFFF"/>
      </patternFill>
    </fill>
    <fill>
      <patternFill patternType="solid">
        <fgColor rgb="FFF0F4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F0F4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D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6"/>
    <col collapsed="false" customWidth="true" hidden="false" outlineLevel="0" max="5" min="4" style="0" width="16"/>
    <col collapsed="false" customWidth="true" hidden="false" outlineLevel="0" max="6" min="6" style="0" width="10"/>
    <col collapsed="false" customWidth="true" hidden="false" outlineLevel="0" max="8" min="8" style="0" width="38"/>
    <col collapsed="false" customWidth="true" hidden="false" outlineLevel="0" max="10" min="9" style="0" width="20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7.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H4" s="3" t="s">
        <v>8</v>
      </c>
      <c r="I4" s="3" t="s">
        <v>9</v>
      </c>
      <c r="J4" s="3" t="s">
        <v>10</v>
      </c>
    </row>
    <row r="5" customFormat="false" ht="15" hidden="false" customHeight="false" outlineLevel="0" collapsed="false">
      <c r="A5" s="4" t="s">
        <v>11</v>
      </c>
      <c r="B5" s="5" t="s">
        <v>12</v>
      </c>
      <c r="C5" s="4" t="n">
        <v>1</v>
      </c>
      <c r="D5" s="6" t="n">
        <v>213000000</v>
      </c>
      <c r="E5" s="6" t="n">
        <v>92314055</v>
      </c>
      <c r="F5" s="6" t="n">
        <v>1618</v>
      </c>
      <c r="H5" s="5" t="s">
        <v>13</v>
      </c>
      <c r="I5" s="7"/>
      <c r="J5" s="8" t="n">
        <f aca="false">SUM(D5:D24)</f>
        <v>3895000000</v>
      </c>
    </row>
    <row r="6" customFormat="false" ht="15" hidden="false" customHeight="false" outlineLevel="0" collapsed="false">
      <c r="A6" s="9" t="s">
        <v>14</v>
      </c>
      <c r="B6" s="10" t="s">
        <v>15</v>
      </c>
      <c r="C6" s="9" t="n">
        <v>1</v>
      </c>
      <c r="D6" s="11" t="n">
        <v>120000000</v>
      </c>
      <c r="E6" s="11" t="n">
        <v>56816106</v>
      </c>
      <c r="F6" s="11" t="n">
        <v>385</v>
      </c>
      <c r="H6" s="5" t="s">
        <v>16</v>
      </c>
      <c r="I6" s="7"/>
      <c r="J6" s="8" t="n">
        <f aca="false">AVERAGE(D5:D24)</f>
        <v>194750000</v>
      </c>
    </row>
    <row r="7" customFormat="false" ht="15" hidden="false" customHeight="false" outlineLevel="0" collapsed="false">
      <c r="A7" s="4" t="s">
        <v>17</v>
      </c>
      <c r="B7" s="5" t="s">
        <v>12</v>
      </c>
      <c r="C7" s="4" t="n">
        <v>1</v>
      </c>
      <c r="D7" s="6" t="n">
        <v>238000000</v>
      </c>
      <c r="E7" s="6" t="n">
        <v>102518155</v>
      </c>
      <c r="F7" s="6" t="n">
        <v>1616</v>
      </c>
      <c r="H7" s="5" t="s">
        <v>18</v>
      </c>
      <c r="I7" s="7"/>
      <c r="J7" s="8" t="n">
        <f aca="false">MAX(D5:D24)</f>
        <v>295000000</v>
      </c>
    </row>
    <row r="8" customFormat="false" ht="15" hidden="false" customHeight="false" outlineLevel="0" collapsed="false">
      <c r="A8" s="9" t="s">
        <v>11</v>
      </c>
      <c r="B8" s="10" t="s">
        <v>19</v>
      </c>
      <c r="C8" s="9" t="n">
        <v>2</v>
      </c>
      <c r="D8" s="11" t="n">
        <v>278000000</v>
      </c>
      <c r="E8" s="11" t="n">
        <v>156683568</v>
      </c>
      <c r="F8" s="11" t="n">
        <v>1309</v>
      </c>
      <c r="H8" s="5" t="s">
        <v>20</v>
      </c>
      <c r="I8" s="7"/>
      <c r="J8" s="8" t="n">
        <f aca="false">LARGE(D5:D24,2)</f>
        <v>278000000</v>
      </c>
    </row>
    <row r="9" customFormat="false" ht="15" hidden="false" customHeight="false" outlineLevel="0" collapsed="false">
      <c r="A9" s="4" t="s">
        <v>11</v>
      </c>
      <c r="B9" s="5" t="s">
        <v>15</v>
      </c>
      <c r="C9" s="4" t="n">
        <v>2</v>
      </c>
      <c r="D9" s="6" t="n">
        <v>158000000</v>
      </c>
      <c r="E9" s="6" t="n">
        <v>64706499</v>
      </c>
      <c r="F9" s="6" t="n">
        <v>291</v>
      </c>
      <c r="H9" s="5" t="s">
        <v>21</v>
      </c>
      <c r="I9" s="7"/>
      <c r="J9" s="8" t="n">
        <f aca="false">COUNT(D5:D24)</f>
        <v>20</v>
      </c>
    </row>
    <row r="10" customFormat="false" ht="15" hidden="false" customHeight="false" outlineLevel="0" collapsed="false">
      <c r="A10" s="9" t="s">
        <v>14</v>
      </c>
      <c r="B10" s="10" t="s">
        <v>12</v>
      </c>
      <c r="C10" s="9" t="n">
        <v>2</v>
      </c>
      <c r="D10" s="11" t="n">
        <v>105000000</v>
      </c>
      <c r="E10" s="11" t="n">
        <v>49328818</v>
      </c>
      <c r="F10" s="11" t="n">
        <v>1332</v>
      </c>
      <c r="H10" s="5" t="s">
        <v>22</v>
      </c>
      <c r="I10" s="7"/>
      <c r="J10" s="8" t="n">
        <f aca="false">SUMIF(A5:A24,"서울",D5:D24)</f>
        <v>1947000000</v>
      </c>
    </row>
    <row r="11" customFormat="false" ht="15" hidden="false" customHeight="false" outlineLevel="0" collapsed="false">
      <c r="A11" s="4" t="s">
        <v>17</v>
      </c>
      <c r="B11" s="5" t="s">
        <v>19</v>
      </c>
      <c r="C11" s="4" t="n">
        <v>3</v>
      </c>
      <c r="D11" s="6" t="n">
        <v>56000000</v>
      </c>
      <c r="E11" s="6" t="n">
        <v>31828917</v>
      </c>
      <c r="F11" s="6" t="n">
        <v>1566</v>
      </c>
      <c r="H11" s="5" t="s">
        <v>23</v>
      </c>
      <c r="I11" s="7"/>
      <c r="J11" s="8" t="n">
        <f aca="false">SUMIFS(D5:D24,A5:A24,"서울",B5:B24,"A")</f>
        <v>502000000</v>
      </c>
    </row>
    <row r="12" customFormat="false" ht="15" hidden="false" customHeight="false" outlineLevel="0" collapsed="false">
      <c r="A12" s="9" t="s">
        <v>11</v>
      </c>
      <c r="B12" s="10" t="s">
        <v>12</v>
      </c>
      <c r="C12" s="9" t="n">
        <v>3</v>
      </c>
      <c r="D12" s="11" t="n">
        <v>216000000</v>
      </c>
      <c r="E12" s="11" t="n">
        <v>131845858</v>
      </c>
      <c r="F12" s="11" t="n">
        <v>959</v>
      </c>
      <c r="H12" s="5" t="s">
        <v>24</v>
      </c>
      <c r="I12" s="7"/>
      <c r="J12" s="8" t="n">
        <f aca="false">COUNTIF(D5:D24,"&gt;="&amp;100000000)</f>
        <v>18</v>
      </c>
    </row>
    <row r="13" customFormat="false" ht="15" hidden="false" customHeight="false" outlineLevel="0" collapsed="false">
      <c r="A13" s="4" t="s">
        <v>14</v>
      </c>
      <c r="B13" s="5" t="s">
        <v>15</v>
      </c>
      <c r="C13" s="4" t="n">
        <v>3</v>
      </c>
      <c r="D13" s="6" t="n">
        <v>106000000</v>
      </c>
      <c r="E13" s="6" t="n">
        <v>56684847</v>
      </c>
      <c r="F13" s="6" t="n">
        <v>669</v>
      </c>
      <c r="H13" s="5" t="s">
        <v>25</v>
      </c>
      <c r="I13" s="7"/>
      <c r="J13" s="8" t="n">
        <f aca="false">AVERAGEIF(A5:A24,"부산",E5:E24)</f>
        <v>70791566.1666667</v>
      </c>
    </row>
    <row r="14" customFormat="false" ht="15" hidden="false" customHeight="false" outlineLevel="0" collapsed="false">
      <c r="A14" s="9" t="s">
        <v>11</v>
      </c>
      <c r="B14" s="10" t="s">
        <v>19</v>
      </c>
      <c r="C14" s="9" t="n">
        <v>3</v>
      </c>
      <c r="D14" s="11" t="n">
        <v>257000000</v>
      </c>
      <c r="E14" s="11" t="n">
        <v>169823054</v>
      </c>
      <c r="F14" s="11" t="n">
        <v>1654</v>
      </c>
      <c r="H14" s="5" t="s">
        <v>26</v>
      </c>
      <c r="I14" s="7"/>
      <c r="J14" s="8" t="n">
        <f aca="false">E5/D5</f>
        <v>0.433399319248826</v>
      </c>
    </row>
    <row r="15" customFormat="false" ht="15" hidden="false" customHeight="false" outlineLevel="0" collapsed="false">
      <c r="A15" s="4" t="s">
        <v>17</v>
      </c>
      <c r="B15" s="5" t="s">
        <v>12</v>
      </c>
      <c r="C15" s="4" t="n">
        <v>4</v>
      </c>
      <c r="D15" s="6" t="n">
        <v>256000000</v>
      </c>
      <c r="E15" s="6" t="n">
        <v>114661835</v>
      </c>
      <c r="F15" s="6" t="n">
        <v>965</v>
      </c>
    </row>
    <row r="16" customFormat="false" ht="15" hidden="false" customHeight="false" outlineLevel="0" collapsed="false">
      <c r="A16" s="9" t="s">
        <v>14</v>
      </c>
      <c r="B16" s="10" t="s">
        <v>19</v>
      </c>
      <c r="C16" s="9" t="n">
        <v>4</v>
      </c>
      <c r="D16" s="11" t="n">
        <v>137000000</v>
      </c>
      <c r="E16" s="11" t="n">
        <v>66220512</v>
      </c>
      <c r="F16" s="11" t="n">
        <v>540</v>
      </c>
    </row>
    <row r="17" customFormat="false" ht="15" hidden="false" customHeight="false" outlineLevel="0" collapsed="false">
      <c r="A17" s="4" t="s">
        <v>11</v>
      </c>
      <c r="B17" s="5" t="s">
        <v>15</v>
      </c>
      <c r="C17" s="4" t="n">
        <v>4</v>
      </c>
      <c r="D17" s="6" t="n">
        <v>295000000</v>
      </c>
      <c r="E17" s="6" t="n">
        <v>185569230</v>
      </c>
      <c r="F17" s="6" t="n">
        <v>309</v>
      </c>
    </row>
    <row r="18" customFormat="false" ht="15" hidden="false" customHeight="false" outlineLevel="0" collapsed="false">
      <c r="A18" s="9" t="s">
        <v>11</v>
      </c>
      <c r="B18" s="10" t="s">
        <v>12</v>
      </c>
      <c r="C18" s="9" t="n">
        <v>5</v>
      </c>
      <c r="D18" s="11" t="n">
        <v>73000000</v>
      </c>
      <c r="E18" s="11" t="n">
        <v>37520407</v>
      </c>
      <c r="F18" s="11" t="n">
        <v>835</v>
      </c>
    </row>
    <row r="19" customFormat="false" ht="15" hidden="false" customHeight="false" outlineLevel="0" collapsed="false">
      <c r="A19" s="4" t="s">
        <v>14</v>
      </c>
      <c r="B19" s="5" t="s">
        <v>15</v>
      </c>
      <c r="C19" s="4" t="n">
        <v>5</v>
      </c>
      <c r="D19" s="6" t="n">
        <v>266000000</v>
      </c>
      <c r="E19" s="6" t="n">
        <v>133847666</v>
      </c>
      <c r="F19" s="6" t="n">
        <v>641</v>
      </c>
    </row>
    <row r="20" customFormat="false" ht="15" hidden="false" customHeight="false" outlineLevel="0" collapsed="false">
      <c r="A20" s="9" t="s">
        <v>17</v>
      </c>
      <c r="B20" s="10" t="s">
        <v>12</v>
      </c>
      <c r="C20" s="9" t="n">
        <v>5</v>
      </c>
      <c r="D20" s="11" t="n">
        <v>256000000</v>
      </c>
      <c r="E20" s="11" t="n">
        <v>105736994</v>
      </c>
      <c r="F20" s="11" t="n">
        <v>1040</v>
      </c>
    </row>
    <row r="21" customFormat="false" ht="15" hidden="false" customHeight="false" outlineLevel="0" collapsed="false">
      <c r="A21" s="4" t="s">
        <v>11</v>
      </c>
      <c r="B21" s="5" t="s">
        <v>19</v>
      </c>
      <c r="C21" s="4" t="n">
        <v>6</v>
      </c>
      <c r="D21" s="6" t="n">
        <v>187000000</v>
      </c>
      <c r="E21" s="6" t="n">
        <v>81802747</v>
      </c>
      <c r="F21" s="6" t="n">
        <v>1988</v>
      </c>
    </row>
    <row r="22" customFormat="false" ht="15" hidden="false" customHeight="false" outlineLevel="0" collapsed="false">
      <c r="A22" s="9" t="s">
        <v>14</v>
      </c>
      <c r="B22" s="10" t="s">
        <v>12</v>
      </c>
      <c r="C22" s="9" t="n">
        <v>6</v>
      </c>
      <c r="D22" s="11" t="n">
        <v>146000000</v>
      </c>
      <c r="E22" s="11" t="n">
        <v>61851448</v>
      </c>
      <c r="F22" s="11" t="n">
        <v>700</v>
      </c>
    </row>
    <row r="23" customFormat="false" ht="15" hidden="false" customHeight="false" outlineLevel="0" collapsed="false">
      <c r="A23" s="4" t="s">
        <v>17</v>
      </c>
      <c r="B23" s="5" t="s">
        <v>15</v>
      </c>
      <c r="C23" s="4" t="n">
        <v>6</v>
      </c>
      <c r="D23" s="6" t="n">
        <v>262000000</v>
      </c>
      <c r="E23" s="6" t="n">
        <v>154211088</v>
      </c>
      <c r="F23" s="6" t="n">
        <v>1913</v>
      </c>
    </row>
    <row r="24" customFormat="false" ht="15" hidden="false" customHeight="false" outlineLevel="0" collapsed="false">
      <c r="A24" s="9" t="s">
        <v>11</v>
      </c>
      <c r="B24" s="10" t="s">
        <v>19</v>
      </c>
      <c r="C24" s="9" t="n">
        <v>6</v>
      </c>
      <c r="D24" s="11" t="n">
        <v>270000000</v>
      </c>
      <c r="E24" s="11" t="n">
        <v>137292437</v>
      </c>
      <c r="F24" s="11" t="n">
        <v>493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8"/>
    <col collapsed="false" customWidth="true" hidden="false" outlineLevel="0" max="8" min="6" style="0" width="18"/>
  </cols>
  <sheetData>
    <row r="1" customFormat="false" ht="15" hidden="false" customHeight="true" outlineLevel="0" collapsed="false">
      <c r="A1" s="1" t="s">
        <v>27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28</v>
      </c>
      <c r="B2" s="2"/>
      <c r="C2" s="2"/>
      <c r="D2" s="2"/>
      <c r="E2" s="2"/>
      <c r="F2" s="2"/>
      <c r="G2" s="2"/>
      <c r="H2" s="2"/>
    </row>
    <row r="4" customFormat="false" ht="17.15" hidden="false" customHeight="false" outlineLevel="0" collapsed="false">
      <c r="A4" s="3" t="s">
        <v>29</v>
      </c>
      <c r="B4" s="3" t="s">
        <v>30</v>
      </c>
      <c r="C4" s="3" t="s">
        <v>31</v>
      </c>
      <c r="D4" s="3" t="s">
        <v>32</v>
      </c>
      <c r="E4" s="3"/>
      <c r="F4" s="3" t="s">
        <v>33</v>
      </c>
      <c r="G4" s="3" t="s">
        <v>34</v>
      </c>
      <c r="H4" s="3" t="s">
        <v>35</v>
      </c>
    </row>
    <row r="5" customFormat="false" ht="15" hidden="false" customHeight="false" outlineLevel="0" collapsed="false">
      <c r="A5" s="5" t="s">
        <v>36</v>
      </c>
      <c r="B5" s="4" t="s">
        <v>37</v>
      </c>
      <c r="C5" s="4" t="s">
        <v>38</v>
      </c>
      <c r="D5" s="6" t="n">
        <v>1500000</v>
      </c>
      <c r="F5" s="5" t="s">
        <v>39</v>
      </c>
      <c r="G5" s="12"/>
      <c r="H5" s="7"/>
    </row>
    <row r="6" customFormat="false" ht="15" hidden="false" customHeight="false" outlineLevel="0" collapsed="false">
      <c r="A6" s="10" t="s">
        <v>40</v>
      </c>
      <c r="B6" s="9" t="s">
        <v>41</v>
      </c>
      <c r="C6" s="9" t="s">
        <v>42</v>
      </c>
      <c r="D6" s="11" t="n">
        <v>35000</v>
      </c>
      <c r="F6" s="5" t="s">
        <v>43</v>
      </c>
      <c r="G6" s="12"/>
      <c r="H6" s="7"/>
    </row>
    <row r="7" customFormat="false" ht="15" hidden="false" customHeight="false" outlineLevel="0" collapsed="false">
      <c r="A7" s="5" t="s">
        <v>39</v>
      </c>
      <c r="B7" s="4" t="s">
        <v>44</v>
      </c>
      <c r="C7" s="4" t="s">
        <v>38</v>
      </c>
      <c r="D7" s="6" t="n">
        <v>450000</v>
      </c>
      <c r="F7" s="5" t="s">
        <v>36</v>
      </c>
      <c r="G7" s="12"/>
      <c r="H7" s="7"/>
    </row>
    <row r="8" customFormat="false" ht="15" hidden="false" customHeight="false" outlineLevel="0" collapsed="false">
      <c r="A8" s="10" t="s">
        <v>45</v>
      </c>
      <c r="B8" s="9" t="s">
        <v>46</v>
      </c>
      <c r="C8" s="9" t="s">
        <v>42</v>
      </c>
      <c r="D8" s="11" t="n">
        <v>120000</v>
      </c>
      <c r="F8" s="5" t="s">
        <v>47</v>
      </c>
      <c r="G8" s="12"/>
      <c r="H8" s="7"/>
    </row>
    <row r="9" customFormat="false" ht="15" hidden="false" customHeight="false" outlineLevel="0" collapsed="false">
      <c r="A9" s="5" t="s">
        <v>47</v>
      </c>
      <c r="B9" s="5" t="s">
        <v>48</v>
      </c>
      <c r="C9" s="4" t="s">
        <v>42</v>
      </c>
      <c r="D9" s="6" t="n">
        <v>25000</v>
      </c>
      <c r="F9" s="5" t="s">
        <v>49</v>
      </c>
      <c r="G9" s="12"/>
      <c r="H9" s="7"/>
    </row>
    <row r="10" customFormat="false" ht="15" hidden="false" customHeight="false" outlineLevel="0" collapsed="false">
      <c r="A10" s="10" t="s">
        <v>50</v>
      </c>
      <c r="B10" s="9" t="s">
        <v>51</v>
      </c>
      <c r="C10" s="9" t="s">
        <v>42</v>
      </c>
      <c r="D10" s="11" t="n">
        <v>85000</v>
      </c>
    </row>
    <row r="11" customFormat="false" ht="15" hidden="false" customHeight="true" outlineLevel="0" collapsed="false">
      <c r="A11" s="5" t="s">
        <v>43</v>
      </c>
      <c r="B11" s="4" t="s">
        <v>52</v>
      </c>
      <c r="C11" s="4" t="s">
        <v>38</v>
      </c>
      <c r="D11" s="6" t="n">
        <v>800000</v>
      </c>
      <c r="F11" s="2" t="s">
        <v>53</v>
      </c>
      <c r="G11" s="2"/>
      <c r="H11" s="2"/>
    </row>
    <row r="12" customFormat="false" ht="15" hidden="false" customHeight="false" outlineLevel="0" collapsed="false">
      <c r="A12" s="10" t="s">
        <v>49</v>
      </c>
      <c r="B12" s="9" t="s">
        <v>54</v>
      </c>
      <c r="C12" s="9" t="s">
        <v>55</v>
      </c>
      <c r="D12" s="11" t="n">
        <v>250000</v>
      </c>
      <c r="G12" s="13" t="str">
        <f aca="false">INDEX(B5:B12,MATCH(F5,A5:A12,0))</f>
        <v>모니터 27인치</v>
      </c>
      <c r="H12" s="14" t="n">
        <f aca="false">INDEX(D5:D12,MATCH(F5,A5:A12,0))</f>
        <v>450000</v>
      </c>
    </row>
  </sheetData>
  <mergeCells count="3">
    <mergeCell ref="A1:H1"/>
    <mergeCell ref="A2:H2"/>
    <mergeCell ref="F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</cols>
  <sheetData>
    <row r="1" customFormat="false" ht="19.4" hidden="false" customHeight="false" outlineLevel="0" collapsed="false">
      <c r="A1" s="15" t="s">
        <v>56</v>
      </c>
    </row>
    <row r="2" customFormat="false" ht="15" hidden="false" customHeight="true" outlineLevel="0" collapsed="false">
      <c r="A2" s="1" t="s">
        <v>57</v>
      </c>
      <c r="B2" s="1"/>
      <c r="C2" s="1"/>
      <c r="D2" s="1"/>
      <c r="E2" s="1"/>
      <c r="F2" s="1"/>
    </row>
    <row r="4" customFormat="false" ht="15" hidden="false" customHeight="false" outlineLevel="0" collapsed="false">
      <c r="A4" s="16" t="s">
        <v>58</v>
      </c>
      <c r="B4" s="17" t="n">
        <v>0.1</v>
      </c>
      <c r="C4" s="16" t="s">
        <v>59</v>
      </c>
      <c r="D4" s="18" t="n">
        <v>1350</v>
      </c>
    </row>
    <row r="6" customFormat="false" ht="17.15" hidden="false" customHeight="false" outlineLevel="0" collapsed="false">
      <c r="A6" s="19" t="s">
        <v>60</v>
      </c>
      <c r="B6" s="19" t="s">
        <v>61</v>
      </c>
      <c r="C6" s="19" t="s">
        <v>62</v>
      </c>
    </row>
    <row r="7" customFormat="false" ht="15" hidden="false" customHeight="false" outlineLevel="0" collapsed="false">
      <c r="A7" s="20" t="n">
        <v>1000000</v>
      </c>
      <c r="B7" s="18"/>
      <c r="C7" s="18"/>
    </row>
    <row r="8" customFormat="false" ht="15" hidden="false" customHeight="false" outlineLevel="0" collapsed="false">
      <c r="A8" s="20" t="n">
        <v>2500000</v>
      </c>
      <c r="B8" s="18"/>
      <c r="C8" s="18"/>
    </row>
    <row r="9" customFormat="false" ht="15" hidden="false" customHeight="false" outlineLevel="0" collapsed="false">
      <c r="A9" s="20" t="n">
        <v>500000</v>
      </c>
      <c r="B9" s="18"/>
      <c r="C9" s="18"/>
    </row>
    <row r="10" customFormat="false" ht="15" hidden="false" customHeight="false" outlineLevel="0" collapsed="false">
      <c r="A10" s="20" t="n">
        <v>3000000</v>
      </c>
      <c r="B10" s="18"/>
      <c r="C10" s="18"/>
    </row>
    <row r="11" customFormat="false" ht="15" hidden="false" customHeight="false" outlineLevel="0" collapsed="false">
      <c r="A11" s="20" t="n">
        <v>750000</v>
      </c>
      <c r="B11" s="18"/>
      <c r="C11" s="18"/>
    </row>
    <row r="13" customFormat="false" ht="15" hidden="false" customHeight="true" outlineLevel="0" collapsed="false">
      <c r="A13" s="2" t="s">
        <v>63</v>
      </c>
      <c r="B13" s="2"/>
      <c r="C13" s="2"/>
    </row>
  </sheetData>
  <mergeCells count="2">
    <mergeCell ref="A2:F2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2026-08-27T02:56:08Z</dcterms:created>
  <dc:creator>openpyxl</dc:creator>
  <dc:description/>
  <dc:language>en-US</dc:language>
  <cp:lastModifiedBy/>
  <dcterms:modified xsi:type="dcterms:W3CDTF">2026-08-27T02:56:08Z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